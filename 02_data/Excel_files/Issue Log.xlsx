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emivar/Downloads/_______DATA ANALYTICS/____Analytic Accelerator/PORTFOLIO/Pulse Electronics Portfolio/EXCEL/"/>
    </mc:Choice>
  </mc:AlternateContent>
  <xr:revisionPtr revIDLastSave="0" documentId="8_{6D567073-0CFD-1748-B543-53C4EFE5B557}" xr6:coauthVersionLast="47" xr6:coauthVersionMax="47" xr10:uidLastSave="{00000000-0000-0000-0000-000000000000}"/>
  <bookViews>
    <workbookView xWindow="5180" yWindow="3280" windowWidth="28280" windowHeight="14540" xr2:uid="{B19100AB-0BB5-2645-A3E6-CFF31F2D1E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<sst xmlns="http://schemas.openxmlformats.org/spreadsheetml/2006/main" count="71" uniqueCount="39">
  <si>
    <t>TABLE</t>
  </si>
  <si>
    <t>COLUMN</t>
  </si>
  <si>
    <t>ISSUE</t>
  </si>
  <si>
    <t>ROW COUNT</t>
  </si>
  <si>
    <t>SOLVABLE</t>
  </si>
  <si>
    <t>RESOLUTION</t>
  </si>
  <si>
    <t>% of Total</t>
  </si>
  <si>
    <t>ORDER</t>
  </si>
  <si>
    <t>Purchase TS</t>
  </si>
  <si>
    <t>inconsistent date</t>
  </si>
  <si>
    <t>y</t>
  </si>
  <si>
    <t>Used date function to format all dates</t>
  </si>
  <si>
    <t>Missing date</t>
  </si>
  <si>
    <t>N</t>
  </si>
  <si>
    <t>Leaving as is</t>
  </si>
  <si>
    <t>Product Name</t>
  </si>
  <si>
    <t>Inconistent spelling of 27in 4K gaming monitor and 27in"" 4k gaming monitor</t>
  </si>
  <si>
    <t>replaced  27in 4K gaming monitor  with 27in"" 4k gaming monitor</t>
  </si>
  <si>
    <t>USD PRICE</t>
  </si>
  <si>
    <t xml:space="preserve"> price of 0 dollars</t>
  </si>
  <si>
    <t>Currency</t>
  </si>
  <si>
    <t>blanks</t>
  </si>
  <si>
    <t>Marketing Channel</t>
  </si>
  <si>
    <t>Y</t>
  </si>
  <si>
    <t>Made blanks to unknown</t>
  </si>
  <si>
    <t>Account Creation</t>
  </si>
  <si>
    <t xml:space="preserve">Country Code </t>
  </si>
  <si>
    <t>Blanks</t>
  </si>
  <si>
    <t>COUNTRY</t>
  </si>
  <si>
    <t>Region</t>
  </si>
  <si>
    <t>x value</t>
  </si>
  <si>
    <t>Country code is US-- filled in with NA</t>
  </si>
  <si>
    <t xml:space="preserve">blanks </t>
  </si>
  <si>
    <t>Country code for the blanks are BJ and BM- assuming BJ stands for BENIN and BM stands for Bermuda- to fill in the region</t>
  </si>
  <si>
    <t>Inconsistent code</t>
  </si>
  <si>
    <t>Code stated as North America instead of NA</t>
  </si>
  <si>
    <t>Ship TS</t>
  </si>
  <si>
    <t>Ship date is before purchase date</t>
  </si>
  <si>
    <t>Country code is 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</si>
</sst>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9" fontId="0" fillId="0" borderId="0" xfId="1" applyFont="1"/>
    <xf numFmtId="0" fontId="0" fillId="0" borderId="0" xfId="0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4EE3D-55A5-9D45-8FDD-05882584E30F}">
  <dimension ref="A1:G14"/>
  <sheetViews>
    <sheetView tabSelected="1" workbookViewId="0">
      <selection activeCell="K23" sqref="K23"/>
    </sheetView>
  </sheetViews>
  <sheetFormatPr baseColWidth="10" defaultRowHeight="16" x14ac:dyDescent="0.2"/>
  <cols>
    <col min="1" max="1" width="19.1640625" style="3" customWidth="1"/>
    <col min="2" max="2" width="17.5" style="3" customWidth="1"/>
    <col min="3" max="3" width="35.1640625" style="3" customWidth="1"/>
    <col min="4" max="4" width="15.83203125" style="3" customWidth="1"/>
    <col min="5" max="5" width="12.6640625" style="3" customWidth="1"/>
    <col min="6" max="6" width="42.83203125" style="6" customWidth="1"/>
  </cols>
  <sheetData>
    <row r="1" spans="1:7" ht="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 ht="17" x14ac:dyDescent="0.2">
      <c r="A2" s="3" t="s">
        <v>7</v>
      </c>
      <c r="B2" s="3" t="s">
        <v>8</v>
      </c>
      <c r="C2" s="3" t="s">
        <v>9</v>
      </c>
      <c r="D2" s="3">
        <v>27</v>
      </c>
      <c r="E2" s="3" t="s">
        <v>10</v>
      </c>
      <c r="F2" s="4" t="s">
        <v>11</v>
      </c>
      <c r="G2" s="5">
        <f>D2/108131</f>
        <v>2.4969712663343535E-4</v>
      </c>
    </row>
    <row r="3" spans="1:7" ht="17" x14ac:dyDescent="0.2">
      <c r="A3" s="3" t="s">
        <v>7</v>
      </c>
      <c r="B3" s="3" t="s">
        <v>8</v>
      </c>
      <c r="C3" s="3" t="s">
        <v>12</v>
      </c>
      <c r="D3" s="3">
        <v>2</v>
      </c>
      <c r="E3" s="3" t="s">
        <v>13</v>
      </c>
      <c r="F3" s="4" t="s">
        <v>14</v>
      </c>
      <c r="G3" s="5">
        <f t="shared" ref="G3:G10" si="0">D3/108131</f>
        <v>1.8496083454328545E-5</v>
      </c>
    </row>
    <row r="4" spans="1:7" ht="34" x14ac:dyDescent="0.2">
      <c r="A4" s="3" t="s">
        <v>7</v>
      </c>
      <c r="B4" s="3" t="s">
        <v>15</v>
      </c>
      <c r="C4" s="6" t="s">
        <v>16</v>
      </c>
      <c r="D4" s="3">
        <v>15</v>
      </c>
      <c r="E4" s="3" t="s">
        <v>10</v>
      </c>
      <c r="F4" s="4" t="s">
        <v>17</v>
      </c>
      <c r="G4" s="5">
        <f t="shared" si="0"/>
        <v>1.387206259074641E-4</v>
      </c>
    </row>
    <row r="5" spans="1:7" ht="17" x14ac:dyDescent="0.2">
      <c r="A5" s="3" t="s">
        <v>7</v>
      </c>
      <c r="B5" s="3" t="s">
        <v>18</v>
      </c>
      <c r="C5" s="3" t="s">
        <v>19</v>
      </c>
      <c r="D5" s="3">
        <v>158</v>
      </c>
      <c r="E5" s="3" t="s">
        <v>13</v>
      </c>
      <c r="F5" s="4" t="s">
        <v>14</v>
      </c>
      <c r="G5" s="5">
        <f t="shared" si="0"/>
        <v>1.4611905928919552E-3</v>
      </c>
    </row>
    <row r="6" spans="1:7" ht="17" x14ac:dyDescent="0.2">
      <c r="A6" s="3" t="s">
        <v>7</v>
      </c>
      <c r="B6" s="3" t="s">
        <v>20</v>
      </c>
      <c r="C6" s="3" t="s">
        <v>21</v>
      </c>
      <c r="D6" s="3">
        <v>54</v>
      </c>
      <c r="E6" s="3" t="s">
        <v>13</v>
      </c>
      <c r="F6" s="4" t="s">
        <v>14</v>
      </c>
      <c r="G6" s="5">
        <f t="shared" si="0"/>
        <v>4.993942532668707E-4</v>
      </c>
    </row>
    <row r="7" spans="1:7" ht="17" x14ac:dyDescent="0.2">
      <c r="A7" s="3" t="s">
        <v>7</v>
      </c>
      <c r="B7" s="3" t="s">
        <v>22</v>
      </c>
      <c r="C7" s="3" t="s">
        <v>21</v>
      </c>
      <c r="D7" s="3">
        <v>1387</v>
      </c>
      <c r="E7" s="3" t="s">
        <v>23</v>
      </c>
      <c r="F7" s="4" t="s">
        <v>24</v>
      </c>
      <c r="G7" s="5">
        <f t="shared" si="0"/>
        <v>1.2827033875576847E-2</v>
      </c>
    </row>
    <row r="8" spans="1:7" ht="17" x14ac:dyDescent="0.2">
      <c r="A8" s="3" t="s">
        <v>7</v>
      </c>
      <c r="B8" s="3" t="s">
        <v>25</v>
      </c>
      <c r="C8" s="3" t="s">
        <v>21</v>
      </c>
      <c r="D8" s="3">
        <v>1387</v>
      </c>
      <c r="E8" s="3" t="s">
        <v>23</v>
      </c>
      <c r="F8" s="4" t="s">
        <v>24</v>
      </c>
      <c r="G8" s="5">
        <f t="shared" si="0"/>
        <v>1.2827033875576847E-2</v>
      </c>
    </row>
    <row r="9" spans="1:7" ht="17" x14ac:dyDescent="0.2">
      <c r="A9" s="3" t="s">
        <v>7</v>
      </c>
      <c r="B9" s="3" t="s">
        <v>26</v>
      </c>
      <c r="C9" s="3" t="s">
        <v>27</v>
      </c>
      <c r="D9" s="3">
        <v>140</v>
      </c>
      <c r="E9" s="3" t="s">
        <v>13</v>
      </c>
      <c r="F9" s="4" t="s">
        <v>14</v>
      </c>
      <c r="G9" s="5">
        <f t="shared" si="0"/>
        <v>1.2947258418029982E-3</v>
      </c>
    </row>
    <row r="10" spans="1:7" ht="17" x14ac:dyDescent="0.2">
      <c r="A10" s="3" t="s">
        <v>28</v>
      </c>
      <c r="B10" s="3" t="s">
        <v>29</v>
      </c>
      <c r="C10" s="3" t="s">
        <v>30</v>
      </c>
      <c r="D10" s="3">
        <v>1</v>
      </c>
      <c r="E10" s="3" t="s">
        <v>23</v>
      </c>
      <c r="F10" s="4" t="s">
        <v>31</v>
      </c>
      <c r="G10" s="5">
        <f t="shared" si="0"/>
        <v>9.2480417271642724E-6</v>
      </c>
    </row>
    <row r="11" spans="1:7" ht="51" x14ac:dyDescent="0.2">
      <c r="A11" s="3" t="s">
        <v>28</v>
      </c>
      <c r="B11" s="3" t="s">
        <v>29</v>
      </c>
      <c r="C11" s="3" t="s">
        <v>32</v>
      </c>
      <c r="D11" s="3">
        <v>2</v>
      </c>
      <c r="E11" s="3" t="s">
        <v>23</v>
      </c>
      <c r="F11" s="4" t="s">
        <v>33</v>
      </c>
      <c r="G11" s="5">
        <f>D11/108131</f>
        <v>1.8496083454328545E-5</v>
      </c>
    </row>
    <row r="12" spans="1:7" ht="17" x14ac:dyDescent="0.2">
      <c r="A12" s="3" t="s">
        <v>28</v>
      </c>
      <c r="B12" s="3" t="s">
        <v>29</v>
      </c>
      <c r="C12" s="3" t="s">
        <v>34</v>
      </c>
      <c r="D12" s="3">
        <v>1</v>
      </c>
      <c r="E12" s="3" t="s">
        <v>10</v>
      </c>
      <c r="F12" s="4" t="s">
        <v>35</v>
      </c>
      <c r="G12" s="5">
        <f>D12/108131</f>
        <v>9.2480417271642724E-6</v>
      </c>
    </row>
    <row r="13" spans="1:7" ht="17" x14ac:dyDescent="0.2">
      <c r="B13" s="3" t="s">
        <v>36</v>
      </c>
      <c r="C13" s="3" t="s">
        <v>37</v>
      </c>
      <c r="D13" s="3">
        <v>29</v>
      </c>
      <c r="E13" s="3" t="s">
        <v>13</v>
      </c>
      <c r="F13" s="4" t="s">
        <v>14</v>
      </c>
      <c r="G13" s="5">
        <f>D13/108131</f>
        <v>2.6819321008776393E-4</v>
      </c>
    </row>
    <row r="14" spans="1:7" ht="17" x14ac:dyDescent="0.2">
      <c r="A14" s="3" t="s">
        <v>7</v>
      </c>
      <c r="B14" s="3" t="s">
        <v>26</v>
      </c>
      <c r="C14" s="3" t="s">
        <v>38</v>
      </c>
      <c r="D14" s="3">
        <v>4</v>
      </c>
      <c r="E14" s="3" t="s">
        <v>13</v>
      </c>
      <c r="F14" s="4" t="s">
        <v>14</v>
      </c>
      <c r="G14" s="5">
        <f>D14/108131</f>
        <v>3.699216690865709E-5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Noemi Araujo</dc:creator>
  <cp:lastModifiedBy>Noemi Araujo</cp:lastModifiedBy>
  <dcterms:created xsi:type="dcterms:W3CDTF">2026-02-10T05:05:35Z</dcterms:created>
  <dcterms:modified xsi:type="dcterms:W3CDTF">2026-02-10T05:06:18Z</dcterms:modified>
</cp:coreProperties>
</file>